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8E8"/>
        <b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10" customWidth="1" min="7" max="7"/>
    <col width="15" customWidth="1" min="8" max="8"/>
    <col width="40" customWidth="1" min="9" max="9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Value</t>
        </is>
      </c>
      <c r="D1" s="1" t="inlineStr">
        <is>
          <t>Stage</t>
        </is>
      </c>
      <c r="E1" s="1" t="inlineStr">
        <is>
          <t>Probability</t>
        </is>
      </c>
      <c r="F1" s="1" t="inlineStr">
        <is>
          <t>Expected Close</t>
        </is>
      </c>
      <c r="G1" s="1" t="inlineStr">
        <is>
          <t>Owner</t>
        </is>
      </c>
      <c r="H1" s="1" t="inlineStr">
        <is>
          <t>Last Activity</t>
        </is>
      </c>
      <c r="I1" s="1" t="inlineStr">
        <is>
          <t>Notes</t>
        </is>
      </c>
    </row>
    <row r="2">
      <c r="A2" s="2" t="inlineStr">
        <is>
          <t>Highland Outdoor Stores</t>
        </is>
      </c>
      <c r="B2" s="2" t="inlineStr">
        <is>
          <t>Jamie MacPherson</t>
        </is>
      </c>
      <c r="C2" s="2" t="inlineStr">
        <is>
          <t>£9,500</t>
        </is>
      </c>
      <c r="D2" s="2" t="inlineStr">
        <is>
          <t>Closed Won</t>
        </is>
      </c>
      <c r="E2" s="2" t="inlineStr">
        <is>
          <t>100%</t>
        </is>
      </c>
      <c r="F2" s="2" t="inlineStr">
        <is>
          <t>10/04/24</t>
        </is>
      </c>
      <c r="G2" s="2" t="inlineStr">
        <is>
          <t>Hodl</t>
        </is>
      </c>
      <c r="H2" s="2" t="inlineStr">
        <is>
          <t>2024-04-10</t>
        </is>
      </c>
      <c r="I2" s="2" t="inlineStr">
        <is>
          <t>First paying customer! Signed contract.</t>
        </is>
      </c>
    </row>
    <row r="3">
      <c r="A3" t="inlineStr">
        <is>
          <t>DataFlow Solutions</t>
        </is>
      </c>
      <c r="B3" t="inlineStr">
        <is>
          <t>Sarah Chen</t>
        </is>
      </c>
      <c r="C3" t="inlineStr">
        <is>
          <t>52000</t>
        </is>
      </c>
      <c r="D3" t="inlineStr">
        <is>
          <t>Proposal</t>
        </is>
      </c>
      <c r="E3" t="inlineStr">
        <is>
          <t>60%</t>
        </is>
      </c>
      <c r="F3" t="inlineStr">
        <is>
          <t>May 15, 2024</t>
        </is>
      </c>
      <c r="G3" t="inlineStr">
        <is>
          <t>Hodl</t>
        </is>
      </c>
      <c r="H3" t="inlineStr">
        <is>
          <t>2024-04-18</t>
        </is>
      </c>
      <c r="I3" t="inlineStr">
        <is>
          <t>Awaiting budget approval from Marcus</t>
        </is>
      </c>
    </row>
    <row r="4">
      <c r="A4" s="2" t="inlineStr">
        <is>
          <t>Edinburgh Events Ltd</t>
        </is>
      </c>
      <c r="B4" s="2" t="inlineStr">
        <is>
          <t>Lisa Thompson</t>
        </is>
      </c>
      <c r="C4" s="2" t="inlineStr">
        <is>
          <t>£15,000</t>
        </is>
      </c>
      <c r="D4" s="2" t="inlineStr">
        <is>
          <t>Discovery</t>
        </is>
      </c>
      <c r="E4" s="2" t="inlineStr">
        <is>
          <t>40%</t>
        </is>
      </c>
      <c r="F4" s="2" t="inlineStr">
        <is>
          <t>2024-06-30</t>
        </is>
      </c>
      <c r="G4" s="2" t="inlineStr">
        <is>
          <t>Flora</t>
        </is>
      </c>
      <c r="H4" s="2" t="inlineStr">
        <is>
          <t>2024-04-15</t>
        </is>
      </c>
      <c r="I4" s="2" t="inlineStr">
        <is>
          <t>Demo scheduled for next week</t>
        </is>
      </c>
    </row>
    <row r="5">
      <c r="A5" t="inlineStr">
        <is>
          <t>Forth Valley Fabrication</t>
        </is>
      </c>
      <c r="B5" t="inlineStr">
        <is>
          <t>Rab Ferguson</t>
        </is>
      </c>
      <c r="C5" t="inlineStr">
        <is>
          <t>18K</t>
        </is>
      </c>
      <c r="D5" t="inlineStr">
        <is>
          <t>Negotiation</t>
        </is>
      </c>
      <c r="E5" t="inlineStr">
        <is>
          <t>70%</t>
        </is>
      </c>
      <c r="F5" t="inlineStr">
        <is>
          <t>30/04/24</t>
        </is>
      </c>
      <c r="G5" t="inlineStr">
        <is>
          <t>Angus</t>
        </is>
      </c>
      <c r="H5" t="inlineStr">
        <is>
          <t>2024-04-20</t>
        </is>
      </c>
      <c r="I5" t="inlineStr">
        <is>
          <t>Negotiating support terms</t>
        </is>
      </c>
    </row>
    <row r="6">
      <c r="A6" s="2" t="inlineStr">
        <is>
          <t>ScotTech Solutions</t>
        </is>
      </c>
      <c r="B6" s="2" t="inlineStr">
        <is>
          <t>Andrew McLeod</t>
        </is>
      </c>
      <c r="C6" s="2" t="inlineStr">
        <is>
          <t>25000</t>
        </is>
      </c>
      <c r="D6" s="2" t="inlineStr">
        <is>
          <t>Initial Contact</t>
        </is>
      </c>
      <c r="E6" s="2" t="inlineStr"/>
      <c r="F6" s="2" t="inlineStr">
        <is>
          <t>2024-07-15</t>
        </is>
      </c>
      <c r="G6" s="2" t="inlineStr">
        <is>
          <t>Hodl</t>
        </is>
      </c>
      <c r="H6" s="2" t="inlineStr">
        <is>
          <t>2024-04-12</t>
        </is>
      </c>
      <c r="I6" s="2" t="inlineStr">
        <is>
          <t>Cold outreach response</t>
        </is>
      </c>
    </row>
    <row r="7">
      <c r="A7" t="inlineStr">
        <is>
          <t>Glasgow Digital</t>
        </is>
      </c>
      <c r="B7" t="inlineStr">
        <is>
          <t>Emma Watson</t>
        </is>
      </c>
      <c r="C7" t="inlineStr">
        <is>
          <t>£35,000</t>
        </is>
      </c>
      <c r="D7" t="inlineStr">
        <is>
          <t>First Call</t>
        </is>
      </c>
      <c r="E7" t="inlineStr">
        <is>
          <t>25%</t>
        </is>
      </c>
      <c r="F7" t="inlineStr">
        <is>
          <t>Aug 2024</t>
        </is>
      </c>
      <c r="G7" t="inlineStr">
        <is>
          <t>Flora</t>
        </is>
      </c>
      <c r="H7" t="inlineStr">
        <is>
          <t>2024-04-08</t>
        </is>
      </c>
      <c r="I7" t="inlineStr">
        <is>
          <t>Interested but timing unclear</t>
        </is>
      </c>
    </row>
    <row r="8">
      <c r="A8" s="2" t="inlineStr">
        <is>
          <t>Aberdeen Logistics</t>
        </is>
      </c>
      <c r="B8" s="2" t="inlineStr">
        <is>
          <t>David Campbell</t>
        </is>
      </c>
      <c r="C8" s="2" t="inlineStr">
        <is>
          <t>40K</t>
        </is>
      </c>
      <c r="D8" s="2" t="inlineStr">
        <is>
          <t>Discovery</t>
        </is>
      </c>
      <c r="E8" s="2" t="inlineStr">
        <is>
          <t>35%</t>
        </is>
      </c>
      <c r="F8" s="2" t="inlineStr">
        <is>
          <t>15/07/24</t>
        </is>
      </c>
      <c r="G8" s="2" t="inlineStr">
        <is>
          <t>Hodl</t>
        </is>
      </c>
      <c r="H8" s="2" t="inlineStr">
        <is>
          <t>2024-04-16</t>
        </is>
      </c>
      <c r="I8" s="2" t="inlineStr">
        <is>
          <t>Complex requirements - needs scoping</t>
        </is>
      </c>
    </row>
    <row r="9">
      <c r="A9" t="inlineStr">
        <is>
          <t>Inverness Tech Hub</t>
        </is>
      </c>
      <c r="B9" t="inlineStr">
        <is>
          <t>Claire MacDonald</t>
        </is>
      </c>
      <c r="C9" t="inlineStr">
        <is>
          <t>8500</t>
        </is>
      </c>
      <c r="D9" t="inlineStr">
        <is>
          <t>Proposal</t>
        </is>
      </c>
      <c r="E9" t="inlineStr">
        <is>
          <t>55%</t>
        </is>
      </c>
      <c r="F9" t="inlineStr">
        <is>
          <t>June 1, 2024</t>
        </is>
      </c>
      <c r="G9" t="inlineStr">
        <is>
          <t>Flora</t>
        </is>
      </c>
      <c r="H9" t="inlineStr">
        <is>
          <t>2024-04-19</t>
        </is>
      </c>
      <c r="I9" t="inlineStr">
        <is>
          <t>Small deal but good reference potential</t>
        </is>
      </c>
    </row>
    <row r="10">
      <c r="A10" s="2" t="inlineStr">
        <is>
          <t>Dundee Manufacturing</t>
        </is>
      </c>
      <c r="B10" s="2" t="inlineStr">
        <is>
          <t>Robert Bruce</t>
        </is>
      </c>
      <c r="C10" s="2" t="inlineStr">
        <is>
          <t>£28,000</t>
        </is>
      </c>
      <c r="D10" s="2" t="inlineStr">
        <is>
          <t>Negotiation</t>
        </is>
      </c>
      <c r="E10" s="2" t="inlineStr">
        <is>
          <t>65%</t>
        </is>
      </c>
      <c r="F10" s="2" t="inlineStr">
        <is>
          <t>2024-05-20</t>
        </is>
      </c>
      <c r="G10" s="2" t="inlineStr">
        <is>
          <t>Angus</t>
        </is>
      </c>
      <c r="H10" s="2" t="inlineStr">
        <is>
          <t>2024-04-17</t>
        </is>
      </c>
      <c r="I10" s="2" t="inlineStr">
        <is>
          <t>Finalising SOW</t>
        </is>
      </c>
    </row>
    <row r="11">
      <c r="A11" t="inlineStr">
        <is>
          <t>Perth Professional Services</t>
        </is>
      </c>
      <c r="B11" t="inlineStr">
        <is>
          <t>Fiona Stewart</t>
        </is>
      </c>
      <c r="C11" t="inlineStr">
        <is>
          <t>22K</t>
        </is>
      </c>
      <c r="D11" t="inlineStr">
        <is>
          <t>Discovery</t>
        </is>
      </c>
      <c r="E11" t="inlineStr">
        <is>
          <t>30%</t>
        </is>
      </c>
      <c r="F11" t="inlineStr">
        <is>
          <t>2024-08-01</t>
        </is>
      </c>
      <c r="G11" t="inlineStr">
        <is>
          <t>Hodl</t>
        </is>
      </c>
      <c r="H11" t="inlineStr">
        <is>
          <t>2024-04-10</t>
        </is>
      </c>
      <c r="I11" t="inlineStr">
        <is>
          <t>Early stage conversations</t>
        </is>
      </c>
    </row>
    <row r="12">
      <c r="A12" s="2" t="inlineStr">
        <is>
          <t>Stirling Healthcare</t>
        </is>
      </c>
      <c r="B12" s="2" t="inlineStr">
        <is>
          <t>Dr. James Murray</t>
        </is>
      </c>
      <c r="C12" s="2" t="inlineStr">
        <is>
          <t>45000</t>
        </is>
      </c>
      <c r="D12" s="2" t="inlineStr">
        <is>
          <t>Initial Contact</t>
        </is>
      </c>
      <c r="E12" s="2" t="inlineStr">
        <is>
          <t>15%</t>
        </is>
      </c>
      <c r="F12" s="2" t="inlineStr">
        <is>
          <t>Q3 2024</t>
        </is>
      </c>
      <c r="G12" s="2" t="inlineStr">
        <is>
          <t>Flora</t>
        </is>
      </c>
      <c r="H12" s="2" t="inlineStr">
        <is>
          <t>2024-04-05</t>
        </is>
      </c>
      <c r="I12" s="2" t="inlineStr">
        <is>
          <t>Referral from Edinburgh Events</t>
        </is>
      </c>
    </row>
    <row r="13">
      <c r="A13" t="inlineStr">
        <is>
          <t>Borders Retail Group</t>
        </is>
      </c>
      <c r="B13" t="inlineStr">
        <is>
          <t>Susan Anderson</t>
        </is>
      </c>
      <c r="C13" t="inlineStr">
        <is>
          <t>£12,500</t>
        </is>
      </c>
      <c r="D13" t="inlineStr">
        <is>
          <t>First Call</t>
        </is>
      </c>
      <c r="E13" t="inlineStr">
        <is>
          <t>20%</t>
        </is>
      </c>
      <c r="F13" t="inlineStr">
        <is>
          <t>2024-09-15</t>
        </is>
      </c>
      <c r="G13" t="inlineStr">
        <is>
          <t>Hodl</t>
        </is>
      </c>
      <c r="H13" t="inlineStr">
        <is>
          <t>2024-04-14</t>
        </is>
      </c>
      <c r="I13" t="inlineStr">
        <is>
          <t>f/u scheduled for May</t>
        </is>
      </c>
    </row>
    <row r="14">
      <c r="A14" s="2" t="inlineStr">
        <is>
          <t>Fife Construction</t>
        </is>
      </c>
      <c r="B14" s="2" t="inlineStr">
        <is>
          <t>Tom Wilson</t>
        </is>
      </c>
      <c r="C14" s="2" t="inlineStr">
        <is>
          <t>32000</t>
        </is>
      </c>
      <c r="D14" s="2" t="inlineStr">
        <is>
          <t>Proposal</t>
        </is>
      </c>
      <c r="E14" s="2" t="inlineStr">
        <is>
          <t>50%</t>
        </is>
      </c>
      <c r="F14" s="2" t="inlineStr">
        <is>
          <t>20/05/24</t>
        </is>
      </c>
      <c r="G14" s="2" t="inlineStr">
        <is>
          <t>Angus</t>
        </is>
      </c>
      <c r="H14" s="2" t="inlineStr">
        <is>
          <t>2024-04-18</t>
        </is>
      </c>
      <c r="I14" s="2" t="inlineStr">
        <is>
          <t>Sent proposal, awaiting feedback</t>
        </is>
      </c>
    </row>
    <row r="15">
      <c r="A15" t="inlineStr">
        <is>
          <t>Ayrshire Agriculture</t>
        </is>
      </c>
      <c r="B15" t="inlineStr">
        <is>
          <t>Graham Taylor</t>
        </is>
      </c>
      <c r="C15" t="inlineStr">
        <is>
          <t>15K</t>
        </is>
      </c>
      <c r="D15" t="inlineStr">
        <is>
          <t>Discovery</t>
        </is>
      </c>
      <c r="E15" t="inlineStr">
        <is>
          <t>40%</t>
        </is>
      </c>
      <c r="F15" t="inlineStr">
        <is>
          <t>July 2024</t>
        </is>
      </c>
      <c r="G15" t="inlineStr">
        <is>
          <t>Flora</t>
        </is>
      </c>
      <c r="H15" t="inlineStr">
        <is>
          <t>2024-04-11</t>
        </is>
      </c>
      <c r="I15" t="inlineStr">
        <is>
          <t>Seasonal business - timing sensitive</t>
        </is>
      </c>
    </row>
    <row r="16">
      <c r="A16" s="2" t="inlineStr">
        <is>
          <t>Lothian Legal</t>
        </is>
      </c>
      <c r="B16" s="2" t="inlineStr">
        <is>
          <t>Margaret Clark</t>
        </is>
      </c>
      <c r="C16" s="2" t="inlineStr">
        <is>
          <t>£55,000</t>
        </is>
      </c>
      <c r="D16" s="2" t="inlineStr">
        <is>
          <t>Negotiation</t>
        </is>
      </c>
      <c r="E16" s="2" t="inlineStr">
        <is>
          <t>75%</t>
        </is>
      </c>
      <c r="F16" s="2" t="inlineStr">
        <is>
          <t>2024-05-10</t>
        </is>
      </c>
      <c r="G16" s="2" t="inlineStr">
        <is>
          <t>Hodl</t>
        </is>
      </c>
      <c r="H16" s="2" t="inlineStr">
        <is>
          <t>2024-04-20</t>
        </is>
      </c>
      <c r="I16" s="2" t="inlineStr">
        <is>
          <t>Large firm, compliance focus</t>
        </is>
      </c>
    </row>
    <row r="17">
      <c r="A17" t="inlineStr">
        <is>
          <t>Highlands Hospitality</t>
        </is>
      </c>
      <c r="B17" t="inlineStr">
        <is>
          <t>Ian Ross</t>
        </is>
      </c>
      <c r="C17" t="inlineStr">
        <is>
          <t>28000</t>
        </is>
      </c>
      <c r="D17" t="inlineStr">
        <is>
          <t>First Call</t>
        </is>
      </c>
      <c r="E17" t="inlineStr">
        <is>
          <t>25%</t>
        </is>
      </c>
      <c r="F17" t="inlineStr">
        <is>
          <t>2024-08-30</t>
        </is>
      </c>
      <c r="G17" t="inlineStr">
        <is>
          <t>Flora</t>
        </is>
      </c>
      <c r="H17" t="inlineStr">
        <is>
          <t>2024-04-09</t>
        </is>
      </c>
      <c r="I17" t="inlineStr">
        <is>
          <t>Multiple locations - complex</t>
        </is>
      </c>
    </row>
    <row r="18">
      <c r="A18" s="2" t="inlineStr">
        <is>
          <t>Borders Engineering</t>
        </is>
      </c>
      <c r="B18" s="2" t="inlineStr">
        <is>
          <t>Kenny Brown</t>
        </is>
      </c>
      <c r="C18" s="2" t="inlineStr">
        <is>
          <t>£19,500</t>
        </is>
      </c>
      <c r="D18" s="2" t="inlineStr">
        <is>
          <t>Proposal</t>
        </is>
      </c>
      <c r="E18" s="2" t="inlineStr">
        <is>
          <t>45%</t>
        </is>
      </c>
      <c r="F18" s="2" t="inlineStr">
        <is>
          <t>15/06/24</t>
        </is>
      </c>
      <c r="G18" s="2" t="inlineStr">
        <is>
          <t>Angus</t>
        </is>
      </c>
      <c r="H18" s="2" t="inlineStr">
        <is>
          <t>2024-04-16</t>
        </is>
      </c>
      <c r="I18" s="2" t="inlineStr">
        <is>
          <t>Technical requirements discussed</t>
        </is>
      </c>
    </row>
    <row r="19">
      <c r="A19" t="inlineStr">
        <is>
          <t>Dumfries Distribution</t>
        </is>
      </c>
      <c r="B19" t="inlineStr">
        <is>
          <t>Linda Scott</t>
        </is>
      </c>
      <c r="C19" t="inlineStr">
        <is>
          <t>35K</t>
        </is>
      </c>
      <c r="D19" t="inlineStr">
        <is>
          <t>Discovery</t>
        </is>
      </c>
      <c r="E19" t="inlineStr">
        <is>
          <t>35%</t>
        </is>
      </c>
      <c r="F19" t="inlineStr">
        <is>
          <t>2024-07-01</t>
        </is>
      </c>
      <c r="G19" t="inlineStr">
        <is>
          <t>Hodl</t>
        </is>
      </c>
      <c r="H19" t="inlineStr">
        <is>
          <t>2024-04-13</t>
        </is>
      </c>
      <c r="I19" t="inlineStr">
        <is>
          <t>Warehouse automation interest</t>
        </is>
      </c>
    </row>
    <row r="20">
      <c r="A20" s="2" t="inlineStr">
        <is>
          <t>Argyll Tourism</t>
        </is>
      </c>
      <c r="B20" s="2" t="inlineStr">
        <is>
          <t>Neil Campbell</t>
        </is>
      </c>
      <c r="C20" s="2" t="inlineStr">
        <is>
          <t>11000</t>
        </is>
      </c>
      <c r="D20" s="2" t="inlineStr">
        <is>
          <t>Initial Contact</t>
        </is>
      </c>
      <c r="E20" s="2" t="inlineStr">
        <is>
          <t>10%</t>
        </is>
      </c>
      <c r="F20" s="2" t="inlineStr">
        <is>
          <t>2024-10-01</t>
        </is>
      </c>
      <c r="G20" s="2" t="inlineStr">
        <is>
          <t>Flora</t>
        </is>
      </c>
      <c r="H20" s="2" t="inlineStr">
        <is>
          <t>2024-04-07</t>
        </is>
      </c>
      <c r="I20" s="2" t="inlineStr">
        <is>
          <t>Seasonal - autumn project</t>
        </is>
      </c>
    </row>
    <row r="21">
      <c r="A21" t="inlineStr">
        <is>
          <t>Moray Manufacturing</t>
        </is>
      </c>
      <c r="B21" t="inlineStr">
        <is>
          <t>Douglas Grant</t>
        </is>
      </c>
      <c r="C21" t="inlineStr">
        <is>
          <t>£42,000</t>
        </is>
      </c>
      <c r="D21" t="inlineStr">
        <is>
          <t>Proposal</t>
        </is>
      </c>
      <c r="E21" t="inlineStr">
        <is>
          <t>60%</t>
        </is>
      </c>
      <c r="F21" t="inlineStr">
        <is>
          <t>2024-05-25</t>
        </is>
      </c>
      <c r="G21" t="inlineStr">
        <is>
          <t>Angus</t>
        </is>
      </c>
      <c r="H21" t="inlineStr">
        <is>
          <t>2024-04-19</t>
        </is>
      </c>
      <c r="I21" t="inlineStr">
        <is>
          <t>Similar to Forth Valley scope</t>
        </is>
      </c>
    </row>
    <row r="22">
      <c r="A22" s="2" t="inlineStr">
        <is>
          <t>Lanarkshire Legal</t>
        </is>
      </c>
      <c r="B22" s="2" t="inlineStr">
        <is>
          <t>Helen Fraser</t>
        </is>
      </c>
      <c r="C22" s="2" t="inlineStr">
        <is>
          <t>38000</t>
        </is>
      </c>
      <c r="D22" s="2" t="inlineStr">
        <is>
          <t>Discovery</t>
        </is>
      </c>
      <c r="E22" s="2" t="inlineStr">
        <is>
          <t>30%</t>
        </is>
      </c>
      <c r="F22" s="2" t="inlineStr">
        <is>
          <t>Aug 2024</t>
        </is>
      </c>
      <c r="G22" s="2" t="inlineStr">
        <is>
          <t>Hodl</t>
        </is>
      </c>
      <c r="H22" s="2" t="inlineStr">
        <is>
          <t>2024-04-15</t>
        </is>
      </c>
      <c r="I22" s="2" t="inlineStr">
        <is>
          <t>Document management focus</t>
        </is>
      </c>
    </row>
    <row r="23">
      <c r="A23" t="inlineStr">
        <is>
          <t>Renfrewshire Retail</t>
        </is>
      </c>
      <c r="B23" t="inlineStr">
        <is>
          <t>Stuart MacKenzie</t>
        </is>
      </c>
      <c r="C23" t="inlineStr">
        <is>
          <t>16K</t>
        </is>
      </c>
      <c r="D23" t="inlineStr">
        <is>
          <t>First Call</t>
        </is>
      </c>
      <c r="E23" t="inlineStr">
        <is>
          <t>20%</t>
        </is>
      </c>
      <c r="F23" t="inlineStr">
        <is>
          <t>2024-09-01</t>
        </is>
      </c>
      <c r="G23" t="inlineStr">
        <is>
          <t>Flora</t>
        </is>
      </c>
      <c r="H23" t="inlineStr">
        <is>
          <t>2024-04-12</t>
        </is>
      </c>
      <c r="I23" t="inlineStr">
        <is>
          <t>3 store chain</t>
        </is>
      </c>
    </row>
    <row r="24">
      <c r="A24" s="2" t="inlineStr">
        <is>
          <t>Clyde Consulting</t>
        </is>
      </c>
      <c r="B24" s="2" t="inlineStr">
        <is>
          <t>Victoria Adams</t>
        </is>
      </c>
      <c r="C24" s="2" t="inlineStr">
        <is>
          <t>£24,000</t>
        </is>
      </c>
      <c r="D24" s="2" t="inlineStr">
        <is>
          <t>Proposal</t>
        </is>
      </c>
      <c r="E24" s="2" t="inlineStr">
        <is>
          <t>55%</t>
        </is>
      </c>
      <c r="F24" s="2" t="inlineStr">
        <is>
          <t>2024-06-15</t>
        </is>
      </c>
      <c r="G24" s="2" t="inlineStr">
        <is>
          <t>Hodl</t>
        </is>
      </c>
      <c r="H24" s="2" t="inlineStr">
        <is>
          <t>2024-04-17</t>
        </is>
      </c>
      <c r="I24" s="2" t="inlineStr">
        <is>
          <t>Professional services automation</t>
        </is>
      </c>
    </row>
    <row r="25">
      <c r="A25" t="inlineStr">
        <is>
          <t>Tayside Technology</t>
        </is>
      </c>
      <c r="B25" t="inlineStr">
        <is>
          <t>Michael Thomson</t>
        </is>
      </c>
      <c r="C25" t="inlineStr">
        <is>
          <t>29000</t>
        </is>
      </c>
      <c r="D25" t="inlineStr">
        <is>
          <t>Discovery</t>
        </is>
      </c>
      <c r="E25" t="inlineStr">
        <is>
          <t>45%</t>
        </is>
      </c>
      <c r="F25" t="inlineStr">
        <is>
          <t>25/06/24</t>
        </is>
      </c>
      <c r="G25" t="inlineStr">
        <is>
          <t>Angus</t>
        </is>
      </c>
      <c r="H25" t="inlineStr">
        <is>
          <t>2024-04-14</t>
        </is>
      </c>
      <c r="I25" t="inlineStr">
        <is>
          <t>CRM integration required</t>
        </is>
      </c>
    </row>
    <row r="26">
      <c r="A26" s="2" t="inlineStr">
        <is>
          <t>Western Isles Fisheries</t>
        </is>
      </c>
      <c r="B26" s="2" t="inlineStr">
        <is>
          <t>Donald MacLeod</t>
        </is>
      </c>
      <c r="C26" s="2" t="inlineStr">
        <is>
          <t>8K</t>
        </is>
      </c>
      <c r="D26" s="2" t="inlineStr">
        <is>
          <t>Initial Contact</t>
        </is>
      </c>
      <c r="E26" s="2" t="inlineStr">
        <is>
          <t>5%</t>
        </is>
      </c>
      <c r="F26" s="2" t="inlineStr">
        <is>
          <t>2024-11-01</t>
        </is>
      </c>
      <c r="G26" s="2" t="inlineStr">
        <is>
          <t>Flora</t>
        </is>
      </c>
      <c r="H26" s="2" t="inlineStr">
        <is>
          <t>2024-04-06</t>
        </is>
      </c>
      <c r="I26" s="2" t="inlineStr">
        <is>
          <t>Remote location challenges</t>
        </is>
      </c>
    </row>
    <row r="27">
      <c r="A27" t="inlineStr">
        <is>
          <t>Edinburgh Events Ltd</t>
        </is>
      </c>
      <c r="B27" t="inlineStr">
        <is>
          <t>Lisa Thompson</t>
        </is>
      </c>
      <c r="C27" t="inlineStr">
        <is>
          <t>15000</t>
        </is>
      </c>
      <c r="D27" t="inlineStr">
        <is>
          <t>First Call</t>
        </is>
      </c>
      <c r="E27" t="inlineStr">
        <is>
          <t>35%</t>
        </is>
      </c>
      <c r="F27" t="inlineStr">
        <is>
          <t>June 2024</t>
        </is>
      </c>
      <c r="G27" t="inlineStr">
        <is>
          <t>Hodl</t>
        </is>
      </c>
      <c r="H27" t="inlineStr">
        <is>
          <t>2024-04-02</t>
        </is>
      </c>
      <c r="I27" t="inlineStr">
        <is>
          <t>Earlier conversation - now in discovery</t>
        </is>
      </c>
    </row>
    <row r="28">
      <c r="A28" s="2" t="inlineStr">
        <is>
          <t>Shetland Services</t>
        </is>
      </c>
      <c r="B28" s="2" t="inlineStr">
        <is>
          <t>Angus Williamson</t>
        </is>
      </c>
      <c r="C28" s="2">
        <f>VLOOKUP(A28,#REF!,2)</f>
        <v/>
      </c>
      <c r="D28" s="2" t="inlineStr">
        <is>
          <t>Initial Contact</t>
        </is>
      </c>
      <c r="E28" s="2" t="inlineStr">
        <is>
          <t>10%</t>
        </is>
      </c>
      <c r="F28" s="2" t="inlineStr">
        <is>
          <t>2024-12-01</t>
        </is>
      </c>
      <c r="G28" s="2" t="inlineStr">
        <is>
          <t>Angus</t>
        </is>
      </c>
      <c r="H28" s="2" t="inlineStr">
        <is>
          <t>2024-04-01</t>
        </is>
      </c>
      <c r="I28" s="2" t="inlineStr">
        <is>
          <t>Remote engagement</t>
        </is>
      </c>
    </row>
    <row r="29">
      <c r="A29" t="inlineStr">
        <is>
          <t>Orkney Operations</t>
        </is>
      </c>
      <c r="B29" t="inlineStr">
        <is>
          <t>Mary Sinclair</t>
        </is>
      </c>
      <c r="C29" t="inlineStr">
        <is>
          <t>£21,500</t>
        </is>
      </c>
      <c r="D29" t="inlineStr">
        <is>
          <t>Discovery</t>
        </is>
      </c>
      <c r="E29" t="inlineStr">
        <is>
          <t>40%</t>
        </is>
      </c>
      <c r="F29" t="inlineStr">
        <is>
          <t>2024-07-20</t>
        </is>
      </c>
      <c r="G29" t="inlineStr">
        <is>
          <t>Flora</t>
        </is>
      </c>
      <c r="H29" t="inlineStr">
        <is>
          <t>2024-04-18</t>
        </is>
      </c>
      <c r="I29" t="inlineStr">
        <is>
          <t>Island logistics to consider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Pipeline Summary</t>
        </is>
      </c>
    </row>
    <row r="3">
      <c r="A3" t="inlineStr">
        <is>
          <t>Total Opportunities:</t>
        </is>
      </c>
      <c r="B3">
        <f>COUNTA(Pipeline!A2:A100)</f>
        <v/>
      </c>
    </row>
    <row r="4">
      <c r="A4" t="inlineStr">
        <is>
          <t>Total Pipeline Value:</t>
        </is>
      </c>
      <c r="B4">
        <f>SUM(Pipeline!C2:C100)</f>
        <v/>
      </c>
    </row>
    <row r="5">
      <c r="A5" t="inlineStr">
        <is>
          <t>Average Deal Size:</t>
        </is>
      </c>
      <c r="B5">
        <f>AVERAGE(Pipeline!C2:C100)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2025-12-24T11:01:51Z</dcterms:created>
  <dcterms:modified xmlns:dcterms="http://purl.org/dc/terms/" xmlns:xsi="http://www.w3.org/2001/XMLSchema-instance" xsi:type="dcterms:W3CDTF">2025-12-24T11:01:51Z</dcterms:modified>
</cp:coreProperties>
</file>